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1"/>
  </bookViews>
  <sheets>
    <sheet name="BOM_Dooi_CE_Head(2套)" sheetId="1" r:id="rId1"/>
    <sheet name="BOM_Dooi_CE_Arm（4套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<sst xmlns="http://schemas.openxmlformats.org/spreadsheetml/2006/main" count="238" uniqueCount="179">
  <si>
    <t>序号</t>
  </si>
  <si>
    <t>类型</t>
  </si>
  <si>
    <t>型号</t>
  </si>
  <si>
    <t>值</t>
  </si>
  <si>
    <t>位号</t>
  </si>
  <si>
    <t>封装</t>
  </si>
  <si>
    <t>数量</t>
  </si>
  <si>
    <t>立创编号</t>
  </si>
  <si>
    <t>单价</t>
  </si>
  <si>
    <t>总价</t>
  </si>
  <si>
    <t>贴片电阻</t>
  </si>
  <si>
    <t>FRC0603F8R20TS</t>
  </si>
  <si>
    <t>3.9Ω</t>
  </si>
  <si>
    <t>R23</t>
  </si>
  <si>
    <t>R0603</t>
  </si>
  <si>
    <t>C23020</t>
  </si>
  <si>
    <t>0603WAF1001T5E</t>
  </si>
  <si>
    <t>1kΩ</t>
  </si>
  <si>
    <t>R17,R18</t>
  </si>
  <si>
    <t>C21190</t>
  </si>
  <si>
    <t>0.0065</t>
  </si>
  <si>
    <t>FRC0603F6801TS</t>
  </si>
  <si>
    <t>6.8kΩ</t>
  </si>
  <si>
    <t>R21,R22</t>
  </si>
  <si>
    <t>C2907055</t>
  </si>
  <si>
    <t>FRC0603J103 TS</t>
  </si>
  <si>
    <t>10kΩ</t>
  </si>
  <si>
    <t>R1,R2,R13,R16</t>
  </si>
  <si>
    <t>C2930027</t>
  </si>
  <si>
    <t>0.0049</t>
  </si>
  <si>
    <t>FRC0603F1003TS</t>
  </si>
  <si>
    <t>100kΩ</t>
  </si>
  <si>
    <t>R6</t>
  </si>
  <si>
    <t>C2906980</t>
  </si>
  <si>
    <t>0.0062</t>
  </si>
  <si>
    <t>FRC0603F3003TS</t>
  </si>
  <si>
    <t>300kΩ</t>
  </si>
  <si>
    <t>R7</t>
  </si>
  <si>
    <t>C2930091</t>
  </si>
  <si>
    <t>FRL0805FR400TS</t>
  </si>
  <si>
    <t>400mΩ</t>
  </si>
  <si>
    <t>R4,R5</t>
  </si>
  <si>
    <t>R0805</t>
  </si>
  <si>
    <t>C2934266</t>
  </si>
  <si>
    <t>0.0286</t>
  </si>
  <si>
    <t>贴片电容(MLCC)</t>
  </si>
  <si>
    <t>CL10B103KB8NNNC</t>
  </si>
  <si>
    <t>10nF/50V</t>
  </si>
  <si>
    <t>C2</t>
  </si>
  <si>
    <t>C0603</t>
  </si>
  <si>
    <t>C1589</t>
  </si>
  <si>
    <t>0.0195</t>
  </si>
  <si>
    <t>CL10B104KB8NNNC</t>
  </si>
  <si>
    <t>100nF/50V</t>
  </si>
  <si>
    <t>C11,C13</t>
  </si>
  <si>
    <t>C1591</t>
  </si>
  <si>
    <t>0.0177</t>
  </si>
  <si>
    <t>CL10A225KP8NNNC</t>
  </si>
  <si>
    <t>2.2uF/10V</t>
  </si>
  <si>
    <t>C1</t>
  </si>
  <si>
    <t>C1607</t>
  </si>
  <si>
    <t>0.0397</t>
  </si>
  <si>
    <t>CL10A106MO8NQNC</t>
  </si>
  <si>
    <t>10uF/16V</t>
  </si>
  <si>
    <t>C3,C4,C10</t>
  </si>
  <si>
    <t>C92487</t>
  </si>
  <si>
    <t>0.0898</t>
  </si>
  <si>
    <t>CL10A226MO7JZNC</t>
  </si>
  <si>
    <t>22uF/10V</t>
  </si>
  <si>
    <t>C5,C6,C15,C17</t>
  </si>
  <si>
    <t>C86295</t>
  </si>
  <si>
    <t>功率电感</t>
  </si>
  <si>
    <t>FNR4030S3R3MT</t>
  </si>
  <si>
    <t>3.3uH</t>
  </si>
  <si>
    <t>L1</t>
  </si>
  <si>
    <t>IND-SMD</t>
  </si>
  <si>
    <t>C167870</t>
  </si>
  <si>
    <t>0.315</t>
  </si>
  <si>
    <t>肖特基二极管</t>
  </si>
  <si>
    <t>DSK24</t>
  </si>
  <si>
    <t/>
  </si>
  <si>
    <t>D1</t>
  </si>
  <si>
    <t>SOD-123FL</t>
  </si>
  <si>
    <t>C22466352</t>
  </si>
  <si>
    <t>0.132</t>
  </si>
  <si>
    <t>触摸芯片</t>
  </si>
  <si>
    <t>AM01B</t>
  </si>
  <si>
    <t>U7,U8</t>
  </si>
  <si>
    <t>SOT-23-6</t>
  </si>
  <si>
    <t>C485387</t>
  </si>
  <si>
    <t>0.548</t>
  </si>
  <si>
    <t>LED驱动</t>
  </si>
  <si>
    <t>PCA9635PW,118</t>
  </si>
  <si>
    <t>U3</t>
  </si>
  <si>
    <t>TSSOP-28</t>
  </si>
  <si>
    <t>https://item.taobao.com/item.htm?abbucket=16&amp;detail_redpacket_pop=true&amp;id=742789107369&amp;ltk2=1745474505061k1zeu51u9kdydlcycc829i&amp;ns=1&amp;pisk=gS8gi9abOhS19ukdve_sqLLtI3opXN_ffKUAHZBqY9WQWiWxfKjDHps2WNd9KtJJnsL9kExQoQOXWf_x1NO1lZk-e4BD1C_X_ibkHFfUYsAU7PWqvwkTTZ0Ke43JtkzRKXDJkhX-PLf8uZSN0k5Fds44bsJVYw5lLP547syEt9T0W5I6ft0DGp4_6CCs8SY9KE_NXFNCuL9ucNExGyWCis8f3GpTuwLerSs6cK7FLsf00Pza7B7Fd_aVgPzq8w5fNPr4bKREts6F3ZS23BlrWWW93dTEdBTWF4_6befGjTRnVrzDTzINUCW3uY8hsY6y_944oOO_q8AH6A4W9NTJE_pt8PvkgQtVxE2EEtTHTF-2ORDVOnJO8OQrbWb95C-P0Ukb0LbMng8NxSlD6CWG-68rMu6p-Op2SMl8riQeyg7wvDMODNfk3F9girJy9QL1AEDuLttONw5DlbrcniSrgkrP_0afTjLUcosNO6XRGdCotMGPFUlntu-5b61ZyXc3cosNO6X-tXqrFG5C_4C..&amp;priceTId=undefined&amp;query=PCA9635PW%2C118&amp;skuId=5124073025966&amp;spm=a21n57.1.hoverItem.2&amp;utparam=%7B%22aplus_abtest%22%3A%221c2f80e79e2b79b0cfefcb74b8ce025c%22%7D&amp;xxc=taobaoSearch</t>
  </si>
  <si>
    <t>步进电机驱动芯片</t>
  </si>
  <si>
    <t>DRV8833PWPR</t>
  </si>
  <si>
    <t>U2</t>
  </si>
  <si>
    <t>TSSOP-16</t>
  </si>
  <si>
    <t>https://item.taobao.com/item.htm?id=743512094087&amp;pisk=gVsmVqisFZ8bfdNJygtb-6QOf-z8cnt6G1n96hdazQRSD1KvX3lyCKcZ0Fu2aaXCsIe_lnQks_5kgmeblFRGGQCtXtIGPcXCCieXX-tfhhta9WEpst6XfWHnYSImzUJOUclquzKzkYo1aWELvT42hhBz9GQDp19Xpc-wuFlr4Q9igc5ZuuykQdh2_I5aE8vwCClZ0c-yUdv6bjRwg0-yIdkqbhoZa8v6aC-wb1-zEdGyLYRA_sszNTs9UsRDegvDoBWuRcoM7DL2TpOrbWSknWOF3QmZbBvZqSWlHSmCensdtpCY4mfhQ9_wrGcztCslUi7NFjVwFN5v4IKUuYxAct7e7MPs76xcseS2rAyGHtRDqLSUB2ORqICNmUyKxFKPve-VyzNvWnvh_i1mIc5Fe9IXPGVnaC_vd3JGfJuMsFSz_4ue3yi6URIr5VT2FLApCsp3EsjP_Z2uE27BuL94v82o5VT2FLALE80UOEJW3kC..&amp;spm=a1z10.3-c-s.w4002-24733521154.9.190e7e69F3oam8&amp;skuId=5129466113757</t>
  </si>
  <si>
    <t>DC-DC电源芯片</t>
  </si>
  <si>
    <t>ME2149FSG</t>
  </si>
  <si>
    <t>U9</t>
  </si>
  <si>
    <t>SOP-8</t>
  </si>
  <si>
    <t>C236784</t>
  </si>
  <si>
    <t>0.804</t>
  </si>
  <si>
    <t>LDO电源芯片</t>
  </si>
  <si>
    <t>XC6206P332MR-MS</t>
  </si>
  <si>
    <t>U12,U13</t>
  </si>
  <si>
    <t>SOT-23</t>
  </si>
  <si>
    <t>C5252899</t>
  </si>
  <si>
    <t>功率电子开关</t>
  </si>
  <si>
    <t>MT9700-N</t>
  </si>
  <si>
    <t>U10,U11</t>
  </si>
  <si>
    <t>MT9700</t>
  </si>
  <si>
    <t>C42441843</t>
  </si>
  <si>
    <t>线对板针座</t>
  </si>
  <si>
    <t>M1250VS-06P</t>
  </si>
  <si>
    <t>CN2</t>
  </si>
  <si>
    <t>CONN-SMD-06P</t>
  </si>
  <si>
    <t>C705224</t>
  </si>
  <si>
    <t>0.48</t>
  </si>
  <si>
    <t>M1250VS-07P</t>
  </si>
  <si>
    <t>CN1</t>
  </si>
  <si>
    <t>CONN-SMD-07P</t>
  </si>
  <si>
    <t>C705225</t>
  </si>
  <si>
    <t>0.541</t>
  </si>
  <si>
    <t>ZX-SH1.0-2PLT</t>
  </si>
  <si>
    <t>CN7,CN8</t>
  </si>
  <si>
    <t>CONN-SMD_2P-P1.00</t>
  </si>
  <si>
    <t>C7430451</t>
  </si>
  <si>
    <t>0.353</t>
  </si>
  <si>
    <t>ZX-SH1.0-3PLT</t>
  </si>
  <si>
    <t>CN5,CN6,CN9</t>
  </si>
  <si>
    <t>CONN-SMD_3P-P1.00</t>
  </si>
  <si>
    <t>C7430452</t>
  </si>
  <si>
    <t>0.394</t>
  </si>
  <si>
    <t>模拟开关</t>
  </si>
  <si>
    <t>WAS3157B-6/TR</t>
  </si>
  <si>
    <t>U1</t>
  </si>
  <si>
    <t>SOT-363</t>
  </si>
  <si>
    <t>C213161</t>
  </si>
  <si>
    <t>0.426</t>
  </si>
  <si>
    <t>FFC/FPC连接器</t>
  </si>
  <si>
    <t>AFC01-S08FCA-00</t>
  </si>
  <si>
    <t>FPC3,FPC4</t>
  </si>
  <si>
    <t>FPC-SMD_P0.5</t>
  </si>
  <si>
    <t>C262657</t>
  </si>
  <si>
    <t>0.755</t>
  </si>
  <si>
    <t>FPC-05FB-6PH20</t>
  </si>
  <si>
    <t>FPC2</t>
  </si>
  <si>
    <t>FPC-SMD_6P-P0.5</t>
  </si>
  <si>
    <t>C2856827</t>
  </si>
  <si>
    <t>0.833</t>
  </si>
  <si>
    <t>FPC-05FB-20PH20</t>
  </si>
  <si>
    <t>FPC1</t>
  </si>
  <si>
    <t>FPC-SMD_20P-P0.5</t>
  </si>
  <si>
    <t>C2856830</t>
  </si>
  <si>
    <t>0.97</t>
  </si>
  <si>
    <t>1.28寸液晶</t>
  </si>
  <si>
    <t>LCD 1.28\" ips round</t>
  </si>
  <si>
    <t>LCDL,LCDR</t>
  </si>
  <si>
    <t>12PIN 焊线</t>
  </si>
  <si>
    <t>https://item.taobao.com/item.htm?abbucket=16&amp;detail_redpacket_pop=true&amp;id=679670478101&amp;ltk2=1745425518112bapzh0t57vom5av8n740i&amp;ns=1&amp;pisk=gQj8gP2lYSVlUcsJnTzm-BB_FOwcFrXzZ_WsxBAoRsCAdIm3U34ev6dATQYkVQmpv9CFt6BUUpOCO6dhrrqGUT-eA5mLjlXzMmQ486LWRx9f3pvSRrY7ZTtnU5Vgjk3jbIVLs6bJ9w3pBdtBFe9Sh-pHCbOCOeifhIJedb9IV-eAx_RWq7oeJtsV9gxzNgDDAp7ITX2CYqAcv9Kl4pt79HIOMwYr8DkqRajcZpfBPo9XddgIP4i5h-p9QYgIVH9jGLJpOL1BA-BXgptBd6tICY4vT4OivNRcmWEmnhmIAipJlrXWGBOLKLTJ1TOY15IYbUd1FInL_nktPBdVfS4A31b5ZK5LXSK17sIp5HE-_LQfBnOkfuHy1gvdIwBT6XvVP_IXJi2UztIpwFsWkkeMc3pCOeQ46cvJqZLO2ayEGT1MwNtPKAFlHFQv7KTjp4tlSOje5gZ-_IYwpsLGy5nR1gRGjGHe4fA9K4wYH2uePKyF3Z-tNsthkKdgnL0E8EU2HC2YH2uePKJvs-co828Yu&amp;priceTId=undefined&amp;query=1.28%E5%AF%B8%E6%B6%B2%E6%99%B6&amp;skuId=5262531719435&amp;spm=a21n57.1.hoverItem.6&amp;utparam=%7B%22aplus_abtest%22%3A%22468cef80d4fc4a6eb59a96a007286071%22%7D&amp;xxc=taobaoSearch</t>
  </si>
  <si>
    <t>FRC0603F15R0TS</t>
  </si>
  <si>
    <t>15Ω</t>
  </si>
  <si>
    <t>R1,R3</t>
  </si>
  <si>
    <t>C2906996</t>
  </si>
  <si>
    <t>FRC0603F66R5TS</t>
  </si>
  <si>
    <t>66.5Ω</t>
  </si>
  <si>
    <t>R2</t>
  </si>
  <si>
    <t>C5153978</t>
  </si>
  <si>
    <t>RGB LED</t>
  </si>
  <si>
    <t>XL-5050RGBC</t>
  </si>
  <si>
    <t>LED1</t>
  </si>
  <si>
    <t>SMD5050</t>
  </si>
  <si>
    <t>C2843868</t>
  </si>
  <si>
    <t>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</si>
</sst>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1" fillId="0" borderId="0" xfId="6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55245</xdr:colOff>
      <xdr:row>29</xdr:row>
      <xdr:rowOff>80010</xdr:rowOff>
    </xdr:from>
    <xdr:to>
      <xdr:col>10</xdr:col>
      <xdr:colOff>1433195</xdr:colOff>
      <xdr:row>29</xdr:row>
      <xdr:rowOff>824230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45600" y="6518910"/>
          <a:ext cx="1377950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55880</xdr:colOff>
      <xdr:row>16</xdr:row>
      <xdr:rowOff>177800</xdr:rowOff>
    </xdr:from>
    <xdr:to>
      <xdr:col>10</xdr:col>
      <xdr:colOff>1495425</xdr:colOff>
      <xdr:row>16</xdr:row>
      <xdr:rowOff>923290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46235" y="2978150"/>
          <a:ext cx="1439545" cy="74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27940</xdr:colOff>
      <xdr:row>17</xdr:row>
      <xdr:rowOff>76835</xdr:rowOff>
    </xdr:from>
    <xdr:to>
      <xdr:col>10</xdr:col>
      <xdr:colOff>1504950</xdr:colOff>
      <xdr:row>17</xdr:row>
      <xdr:rowOff>704850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218295" y="3867785"/>
          <a:ext cx="1477010" cy="6280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taobao.com/item.htm?id=743512094087&amp;pisk=gVsmVqisFZ8bfdNJygtb-6QOf-z8cnt6G1n96hdazQRSD1KvX3lyCKcZ0Fu2aaXCsIe_lnQks_5kgmeblFRGGQCtXtIGPcXCCieXX-tfhhta9WEpst6XfWHnYSImzUJOUclquzKzkYo1aWELvT42hhBz9GQDp19Xpc-wuFlr4Q9igc5ZuuykQdh2_I5aE8vwCClZ0c-yUdv6bjRwg0-yIdkqbhoZa8v6aC-wb1-zEdGyLYRA_sszNTs9UsRDegvDoBWuRcoM7DL2TpOrbWSknWOF3QmZbBvZqSWlHSmCensdtpCY4mfhQ9_wrGcztCslUi7NFjVwFN5v4IKUuYxAct7e7MPs76xcseS2rAyGHtRDqLSUB2ORqICNmUyKxFKPve-VyzNvWnvh_i1mIc5Fe9IXPGVnaC_vd3JGfJuMsFSz_4ue3yi6URIr5VT2FLApCsp3EsjP_Z2uE27BuL94v82o5VT2FLALE80UOEJW3kC..&amp;spm=a1z10.3-c-s.w4002-24733521154.9.190e7e69F3oam8&amp;skuId=5129466113757" TargetMode="External"/><Relationship Id="rId3" Type="http://schemas.openxmlformats.org/officeDocument/2006/relationships/hyperlink" Target="https://item.taobao.com/item.htm?abbucket=16&amp;detail_redpacket_pop=true&amp;id=679670478101&amp;ltk2=1745425518112bapzh0t57vom5av8n740i&amp;ns=1&amp;pisk=gQj8gP2lYSVlUcsJnTzm-BB_FOwcFrXzZ_WsxBAoRsCAdIm3U34ev6dATQYkVQmpv9CFt6BUUpOCO6dhrrqGUT-eA5mLjlXzMmQ486LWRx9f3pvSRrY7ZTtnU5Vgjk3jbIVLs6bJ9w3pBdtBFe9Sh-pHCbOCOeifhIJedb9IV-eAx_RWq7oeJtsV9gxzNgDDAp7ITX2CYqAcv9Kl4pt79HIOMwYr8DkqRajcZpfBPo9XddgIP4i5h-p9QYgIVH9jGLJpOL1BA-BXgptBd6tICY4vT4OivNRcmWEmnhmIAipJlrXWGBOLKLTJ1TOY15IYbUd1FInL_nktPBdVfS4A31b5ZK5LXSK17sIp5HE-_LQfBnOkfuHy1gvdIwBT6XvVP_IXJi2UztIpwFsWkkeMc3pCOeQ46cvJqZLO2ayEGT1MwNtPKAFlHFQv7KTjp4tlSOje5gZ-_IYwpsLGy5nR1gRGjGHe4fA9K4wYH2uePKyF3Z-tNsthkKdgnL0E8EU2HC2YH2uePKJvs-co828Yu&amp;priceTId=undefined&amp;query=1.28%E5%AF%B8%E6%B6%B2%E6%99%B6&amp;skuId=5262531719435&amp;spm=a21n57.1.hoverItem.6&amp;utparam=%7B%22aplus_abtest%22%3A%22468cef80d4fc4a6eb59a96a007286071%22%7D&amp;xxc=taobaoSearch" TargetMode="External"/><Relationship Id="rId2" Type="http://schemas.openxmlformats.org/officeDocument/2006/relationships/hyperlink" Target="https://item.taobao.com/item.htm?abbucket=16&amp;detail_redpacket_pop=true&amp;id=742789107369&amp;ltk2=1745474505061k1zeu51u9kdydlcycc829i&amp;ns=1&amp;pisk=gS8gi9abOhS19ukdve_sqLLtI3opXN_ffKUAHZBqY9WQWiWxfKjDHps2WNd9KtJJnsL9kExQoQOXWf_x1NO1lZk-e4BD1C_X_ibkHFfUYsAU7PWqvwkTTZ0Ke43JtkzRKXDJkhX-PLf8uZSN0k5Fds44bsJVYw5lLP547syEt9T0W5I6ft0DGp4_6CCs8SY9KE_NXFNCuL9ucNExGyWCis8f3GpTuwLerSs6cK7FLsf00Pza7B7Fd_aVgPzq8w5fNPr4bKREts6F3ZS23BlrWWW93dTEdBTWF4_6befGjTRnVrzDTzINUCW3uY8hsY6y_944oOO_q8AH6A4W9NTJE_pt8PvkgQtVxE2EEtTHTF-2ORDVOnJO8OQrbWb95C-P0Ukb0LbMng8NxSlD6CWG-68rMu6p-Op2SMl8riQeyg7wvDMODNfk3F9girJy9QL1AEDuLttONw5DlbrcniSrgkrP_0afTjLUcosNO6XRGdCotMGPFUlntu-5b61ZyXc3cosNO6X-tXqrFG5C_4C..&amp;priceTId=undefined&amp;query=PCA9635PW%2C118&amp;skuId=5124073025966&amp;spm=a21n57.1.hoverItem.2&amp;utparam=%7B%22aplus_abtest%22%3A%221c2f80e79e2b79b0cfefcb74b8ce025c%22%7D&amp;xxc=taobaoSearch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70" zoomScaleNormal="70" workbookViewId="0">
      <selection activeCell="F30" sqref="F30"/>
    </sheetView>
  </sheetViews>
  <sheetFormatPr defaultColWidth="9" defaultRowHeight="13.5"/>
  <cols>
    <col min="1" max="1" width="5.52212389380531" style="1" customWidth="1"/>
    <col min="2" max="2" width="17.2654867256637" customWidth="1"/>
    <col min="3" max="3" width="20" customWidth="1"/>
    <col min="4" max="4" width="10.1592920353982" customWidth="1"/>
    <col min="5" max="5" width="20" style="5" customWidth="1"/>
    <col min="6" max="6" width="20" customWidth="1"/>
    <col min="7" max="7" width="4.31858407079646" style="1" customWidth="1"/>
    <col min="8" max="8" width="12.353982300885" customWidth="1"/>
    <col min="9" max="10" width="9.23008849557522" style="1" customWidth="1"/>
    <col min="11" max="11" width="21.7079646017699" style="1" customWidth="1"/>
    <col min="12" max="12" width="9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/>
    </row>
    <row r="2" spans="1:11">
      <c r="A2" s="2">
        <v>1</v>
      </c>
      <c r="B2" s="3" t="s">
        <v>10</v>
      </c>
      <c r="C2" s="3" t="s">
        <v>11</v>
      </c>
      <c r="D2" s="6" t="s">
        <v>12</v>
      </c>
      <c r="E2" s="4" t="s">
        <v>13</v>
      </c>
      <c r="F2" s="3" t="s">
        <v>14</v>
      </c>
      <c r="G2" s="2">
        <v>1</v>
      </c>
      <c r="H2" s="3" t="s">
        <v>15</v>
      </c>
      <c r="I2" s="2">
        <v>0.0118</v>
      </c>
      <c r="J2" s="2">
        <f t="shared" ref="J2:J21" si="0">I2*G2</f>
        <v>0.0118</v>
      </c>
      <c r="K2" s="2"/>
    </row>
    <row r="3" spans="1:11">
      <c r="A3" s="2">
        <v>2</v>
      </c>
      <c r="B3" s="3" t="s">
        <v>10</v>
      </c>
      <c r="C3" s="3" t="s">
        <v>16</v>
      </c>
      <c r="D3" s="3" t="s">
        <v>17</v>
      </c>
      <c r="E3" s="4" t="s">
        <v>18</v>
      </c>
      <c r="F3" s="3" t="s">
        <v>14</v>
      </c>
      <c r="G3" s="2">
        <v>2</v>
      </c>
      <c r="H3" s="3" t="s">
        <v>19</v>
      </c>
      <c r="I3" s="2" t="s">
        <v>20</v>
      </c>
      <c r="J3" s="2">
        <f t="shared" si="0"/>
        <v>0.013</v>
      </c>
      <c r="K3" s="2"/>
    </row>
    <row r="4" spans="1:11">
      <c r="A4" s="2">
        <v>3</v>
      </c>
      <c r="B4" s="3" t="s">
        <v>10</v>
      </c>
      <c r="C4" s="3" t="s">
        <v>21</v>
      </c>
      <c r="D4" s="3" t="s">
        <v>22</v>
      </c>
      <c r="E4" s="4" t="s">
        <v>23</v>
      </c>
      <c r="F4" s="3" t="s">
        <v>14</v>
      </c>
      <c r="G4" s="2">
        <v>2</v>
      </c>
      <c r="H4" s="3" t="s">
        <v>24</v>
      </c>
      <c r="I4" s="2">
        <v>0.00549</v>
      </c>
      <c r="J4" s="2">
        <f t="shared" si="0"/>
        <v>0.01098</v>
      </c>
      <c r="K4" s="2"/>
    </row>
    <row r="5" spans="1:11">
      <c r="A5" s="2">
        <v>4</v>
      </c>
      <c r="B5" s="3" t="s">
        <v>10</v>
      </c>
      <c r="C5" s="3" t="s">
        <v>25</v>
      </c>
      <c r="D5" s="3" t="s">
        <v>26</v>
      </c>
      <c r="E5" s="4" t="s">
        <v>27</v>
      </c>
      <c r="F5" s="3" t="s">
        <v>14</v>
      </c>
      <c r="G5" s="2">
        <v>4</v>
      </c>
      <c r="H5" s="3" t="s">
        <v>28</v>
      </c>
      <c r="I5" s="2" t="s">
        <v>29</v>
      </c>
      <c r="J5" s="2">
        <f t="shared" si="0"/>
        <v>0.0196</v>
      </c>
      <c r="K5" s="2"/>
    </row>
    <row r="6" spans="1:11">
      <c r="A6" s="2">
        <v>5</v>
      </c>
      <c r="B6" s="3" t="s">
        <v>10</v>
      </c>
      <c r="C6" s="3" t="s">
        <v>30</v>
      </c>
      <c r="D6" s="3" t="s">
        <v>31</v>
      </c>
      <c r="E6" s="4" t="s">
        <v>32</v>
      </c>
      <c r="F6" s="3" t="s">
        <v>14</v>
      </c>
      <c r="G6" s="2">
        <v>1</v>
      </c>
      <c r="H6" s="3" t="s">
        <v>33</v>
      </c>
      <c r="I6" s="2" t="s">
        <v>34</v>
      </c>
      <c r="J6" s="2">
        <f t="shared" si="0"/>
        <v>0.0062</v>
      </c>
      <c r="K6" s="2"/>
    </row>
    <row r="7" spans="1:11">
      <c r="A7" s="2">
        <v>6</v>
      </c>
      <c r="B7" s="3" t="s">
        <v>10</v>
      </c>
      <c r="C7" s="3" t="s">
        <v>35</v>
      </c>
      <c r="D7" s="3" t="s">
        <v>36</v>
      </c>
      <c r="E7" s="4" t="s">
        <v>37</v>
      </c>
      <c r="F7" s="3" t="s">
        <v>14</v>
      </c>
      <c r="G7" s="2">
        <v>1</v>
      </c>
      <c r="H7" s="3" t="s">
        <v>38</v>
      </c>
      <c r="I7" s="2" t="s">
        <v>34</v>
      </c>
      <c r="J7" s="2">
        <f t="shared" si="0"/>
        <v>0.0062</v>
      </c>
      <c r="K7" s="2"/>
    </row>
    <row r="8" spans="1:11">
      <c r="A8" s="2">
        <v>7</v>
      </c>
      <c r="B8" s="3" t="s">
        <v>10</v>
      </c>
      <c r="C8" s="3" t="s">
        <v>39</v>
      </c>
      <c r="D8" s="3" t="s">
        <v>40</v>
      </c>
      <c r="E8" s="4" t="s">
        <v>41</v>
      </c>
      <c r="F8" s="3" t="s">
        <v>42</v>
      </c>
      <c r="G8" s="2">
        <v>2</v>
      </c>
      <c r="H8" s="3" t="s">
        <v>43</v>
      </c>
      <c r="I8" s="2" t="s">
        <v>44</v>
      </c>
      <c r="J8" s="2">
        <f t="shared" si="0"/>
        <v>0.0572</v>
      </c>
      <c r="K8" s="2"/>
    </row>
    <row r="9" spans="1:11">
      <c r="A9" s="2">
        <v>8</v>
      </c>
      <c r="B9" s="3" t="s">
        <v>45</v>
      </c>
      <c r="C9" s="3" t="s">
        <v>46</v>
      </c>
      <c r="D9" s="3" t="s">
        <v>47</v>
      </c>
      <c r="E9" s="4" t="s">
        <v>48</v>
      </c>
      <c r="F9" s="3" t="s">
        <v>49</v>
      </c>
      <c r="G9" s="2">
        <v>1</v>
      </c>
      <c r="H9" s="3" t="s">
        <v>50</v>
      </c>
      <c r="I9" s="2" t="s">
        <v>51</v>
      </c>
      <c r="J9" s="2">
        <f t="shared" si="0"/>
        <v>0.0195</v>
      </c>
      <c r="K9" s="2"/>
    </row>
    <row r="10" spans="1:11">
      <c r="A10" s="2">
        <v>9</v>
      </c>
      <c r="B10" s="3" t="s">
        <v>45</v>
      </c>
      <c r="C10" s="3" t="s">
        <v>52</v>
      </c>
      <c r="D10" s="3" t="s">
        <v>53</v>
      </c>
      <c r="E10" s="4" t="s">
        <v>54</v>
      </c>
      <c r="F10" s="3" t="s">
        <v>49</v>
      </c>
      <c r="G10" s="2">
        <v>2</v>
      </c>
      <c r="H10" s="3" t="s">
        <v>55</v>
      </c>
      <c r="I10" s="2" t="s">
        <v>56</v>
      </c>
      <c r="J10" s="2">
        <f t="shared" si="0"/>
        <v>0.0354</v>
      </c>
      <c r="K10" s="2"/>
    </row>
    <row r="11" spans="1:11">
      <c r="A11" s="2">
        <v>10</v>
      </c>
      <c r="B11" s="3" t="s">
        <v>45</v>
      </c>
      <c r="C11" s="3" t="s">
        <v>57</v>
      </c>
      <c r="D11" s="3" t="s">
        <v>58</v>
      </c>
      <c r="E11" s="4" t="s">
        <v>59</v>
      </c>
      <c r="F11" s="3" t="s">
        <v>49</v>
      </c>
      <c r="G11" s="2">
        <v>1</v>
      </c>
      <c r="H11" s="3" t="s">
        <v>60</v>
      </c>
      <c r="I11" s="2" t="s">
        <v>61</v>
      </c>
      <c r="J11" s="2">
        <f t="shared" si="0"/>
        <v>0.0397</v>
      </c>
      <c r="K11" s="2"/>
    </row>
    <row r="12" spans="1:11">
      <c r="A12" s="2">
        <v>11</v>
      </c>
      <c r="B12" s="3" t="s">
        <v>45</v>
      </c>
      <c r="C12" s="3" t="s">
        <v>62</v>
      </c>
      <c r="D12" s="3" t="s">
        <v>63</v>
      </c>
      <c r="E12" s="4" t="s">
        <v>64</v>
      </c>
      <c r="F12" s="3" t="s">
        <v>49</v>
      </c>
      <c r="G12" s="2">
        <v>3</v>
      </c>
      <c r="H12" s="3" t="s">
        <v>65</v>
      </c>
      <c r="I12" s="2" t="s">
        <v>66</v>
      </c>
      <c r="J12" s="2">
        <f t="shared" si="0"/>
        <v>0.2694</v>
      </c>
      <c r="K12" s="2"/>
    </row>
    <row r="13" spans="1:11">
      <c r="A13" s="2">
        <v>12</v>
      </c>
      <c r="B13" s="3" t="s">
        <v>45</v>
      </c>
      <c r="C13" s="3" t="s">
        <v>67</v>
      </c>
      <c r="D13" s="3" t="s">
        <v>68</v>
      </c>
      <c r="E13" s="4" t="s">
        <v>69</v>
      </c>
      <c r="F13" s="3" t="s">
        <v>49</v>
      </c>
      <c r="G13" s="2">
        <v>4</v>
      </c>
      <c r="H13" s="3" t="s">
        <v>70</v>
      </c>
      <c r="I13" s="2">
        <v>0.0885</v>
      </c>
      <c r="J13" s="2">
        <f t="shared" si="0"/>
        <v>0.354</v>
      </c>
      <c r="K13" s="2"/>
    </row>
    <row r="14" spans="1:11">
      <c r="A14" s="2">
        <v>13</v>
      </c>
      <c r="B14" s="3" t="s">
        <v>71</v>
      </c>
      <c r="C14" s="3" t="s">
        <v>72</v>
      </c>
      <c r="D14" s="3" t="s">
        <v>73</v>
      </c>
      <c r="E14" s="4" t="s">
        <v>74</v>
      </c>
      <c r="F14" s="3" t="s">
        <v>75</v>
      </c>
      <c r="G14" s="2">
        <v>1</v>
      </c>
      <c r="H14" s="3" t="s">
        <v>76</v>
      </c>
      <c r="I14" s="2" t="s">
        <v>77</v>
      </c>
      <c r="J14" s="2">
        <f t="shared" si="0"/>
        <v>0.315</v>
      </c>
      <c r="K14" s="2"/>
    </row>
    <row r="15" spans="1:11">
      <c r="A15" s="2">
        <v>14</v>
      </c>
      <c r="B15" s="3" t="s">
        <v>78</v>
      </c>
      <c r="C15" s="3" t="s">
        <v>79</v>
      </c>
      <c r="D15" s="3" t="s">
        <v>80</v>
      </c>
      <c r="E15" s="4" t="s">
        <v>81</v>
      </c>
      <c r="F15" s="3" t="s">
        <v>82</v>
      </c>
      <c r="G15" s="2">
        <v>1</v>
      </c>
      <c r="H15" s="3" t="s">
        <v>83</v>
      </c>
      <c r="I15" s="2" t="s">
        <v>84</v>
      </c>
      <c r="J15" s="2">
        <f t="shared" si="0"/>
        <v>0.132</v>
      </c>
      <c r="K15" s="2"/>
    </row>
    <row r="16" ht="18" customHeight="1" spans="1:11">
      <c r="A16" s="2">
        <v>15</v>
      </c>
      <c r="B16" s="3" t="s">
        <v>85</v>
      </c>
      <c r="C16" s="3" t="s">
        <v>86</v>
      </c>
      <c r="D16" s="3" t="s">
        <v>80</v>
      </c>
      <c r="E16" s="4" t="s">
        <v>87</v>
      </c>
      <c r="F16" s="3" t="s">
        <v>88</v>
      </c>
      <c r="G16" s="2">
        <v>2</v>
      </c>
      <c r="H16" s="3" t="s">
        <v>89</v>
      </c>
      <c r="I16" s="2" t="s">
        <v>90</v>
      </c>
      <c r="J16" s="2">
        <f t="shared" si="0"/>
        <v>1.096</v>
      </c>
      <c r="K16" s="2"/>
    </row>
    <row r="17" ht="78" customHeight="1" spans="1:12">
      <c r="A17" s="2">
        <v>16</v>
      </c>
      <c r="B17" s="3" t="s">
        <v>91</v>
      </c>
      <c r="C17" s="3" t="s">
        <v>92</v>
      </c>
      <c r="D17" s="3" t="s">
        <v>80</v>
      </c>
      <c r="E17" s="4" t="s">
        <v>93</v>
      </c>
      <c r="F17" s="3" t="s">
        <v>94</v>
      </c>
      <c r="G17" s="2">
        <v>1</v>
      </c>
      <c r="H17" s="3"/>
      <c r="I17" s="2">
        <v>1.94</v>
      </c>
      <c r="J17" s="2">
        <f t="shared" si="0"/>
        <v>1.94</v>
      </c>
      <c r="K17" s="2"/>
      <c r="L17" s="7" t="s">
        <v>95</v>
      </c>
    </row>
    <row r="18" ht="60" customHeight="1" spans="1:12">
      <c r="A18" s="2">
        <v>17</v>
      </c>
      <c r="B18" s="3" t="s">
        <v>96</v>
      </c>
      <c r="C18" s="3" t="s">
        <v>97</v>
      </c>
      <c r="D18" s="3" t="s">
        <v>80</v>
      </c>
      <c r="E18" s="4" t="s">
        <v>98</v>
      </c>
      <c r="F18" s="3" t="s">
        <v>99</v>
      </c>
      <c r="G18" s="2">
        <v>1</v>
      </c>
      <c r="H18" s="3"/>
      <c r="I18" s="2">
        <v>0.97</v>
      </c>
      <c r="J18" s="2">
        <f t="shared" si="0"/>
        <v>0.97</v>
      </c>
      <c r="K18" s="2"/>
      <c r="L18" s="7" t="s">
        <v>100</v>
      </c>
    </row>
    <row r="19" spans="1:11">
      <c r="A19" s="2">
        <v>18</v>
      </c>
      <c r="B19" s="3" t="s">
        <v>101</v>
      </c>
      <c r="C19" s="3" t="s">
        <v>102</v>
      </c>
      <c r="D19" s="3" t="s">
        <v>80</v>
      </c>
      <c r="E19" s="4" t="s">
        <v>103</v>
      </c>
      <c r="F19" s="3" t="s">
        <v>104</v>
      </c>
      <c r="G19" s="2">
        <v>1</v>
      </c>
      <c r="H19" s="3" t="s">
        <v>105</v>
      </c>
      <c r="I19" s="2" t="s">
        <v>106</v>
      </c>
      <c r="J19" s="2">
        <f t="shared" si="0"/>
        <v>0.804</v>
      </c>
      <c r="K19" s="2"/>
    </row>
    <row r="20" spans="1:11">
      <c r="A20" s="2">
        <v>19</v>
      </c>
      <c r="B20" s="3" t="s">
        <v>107</v>
      </c>
      <c r="C20" s="3" t="s">
        <v>108</v>
      </c>
      <c r="D20" s="3"/>
      <c r="E20" s="4" t="s">
        <v>109</v>
      </c>
      <c r="F20" s="4" t="s">
        <v>110</v>
      </c>
      <c r="G20" s="2">
        <v>2</v>
      </c>
      <c r="H20" s="3" t="s">
        <v>111</v>
      </c>
      <c r="I20" s="2">
        <v>0.073435</v>
      </c>
      <c r="J20" s="2">
        <f t="shared" si="0"/>
        <v>0.14687</v>
      </c>
      <c r="K20" s="2"/>
    </row>
    <row r="21" spans="1:11">
      <c r="A21" s="2">
        <v>20</v>
      </c>
      <c r="B21" s="3" t="s">
        <v>112</v>
      </c>
      <c r="C21" s="3" t="s">
        <v>113</v>
      </c>
      <c r="D21" s="3"/>
      <c r="E21" s="4" t="s">
        <v>114</v>
      </c>
      <c r="F21" s="3" t="s">
        <v>115</v>
      </c>
      <c r="G21" s="2">
        <v>2</v>
      </c>
      <c r="H21" s="3" t="s">
        <v>116</v>
      </c>
      <c r="I21" s="2">
        <v>0.2497</v>
      </c>
      <c r="J21" s="2">
        <f t="shared" si="0"/>
        <v>0.4994</v>
      </c>
      <c r="K21" s="2"/>
    </row>
    <row r="22" spans="1:11">
      <c r="A22" s="2">
        <v>21</v>
      </c>
      <c r="B22" s="3" t="s">
        <v>117</v>
      </c>
      <c r="C22" s="3" t="s">
        <v>118</v>
      </c>
      <c r="D22" s="3" t="s">
        <v>80</v>
      </c>
      <c r="E22" s="4" t="s">
        <v>119</v>
      </c>
      <c r="F22" s="3" t="s">
        <v>120</v>
      </c>
      <c r="G22" s="2">
        <v>1</v>
      </c>
      <c r="H22" s="3" t="s">
        <v>121</v>
      </c>
      <c r="I22" s="2" t="s">
        <v>122</v>
      </c>
      <c r="J22" s="2">
        <f t="shared" ref="J22:J30" si="1">I22*G22</f>
        <v>0.48</v>
      </c>
      <c r="K22" s="2"/>
    </row>
    <row r="23" spans="1:11">
      <c r="A23" s="2">
        <v>22</v>
      </c>
      <c r="B23" s="3" t="s">
        <v>117</v>
      </c>
      <c r="C23" s="3" t="s">
        <v>123</v>
      </c>
      <c r="D23" s="3" t="s">
        <v>80</v>
      </c>
      <c r="E23" s="4" t="s">
        <v>124</v>
      </c>
      <c r="F23" s="3" t="s">
        <v>125</v>
      </c>
      <c r="G23" s="2">
        <v>1</v>
      </c>
      <c r="H23" s="3" t="s">
        <v>126</v>
      </c>
      <c r="I23" s="2" t="s">
        <v>127</v>
      </c>
      <c r="J23" s="2">
        <f t="shared" si="1"/>
        <v>0.541</v>
      </c>
      <c r="K23" s="2"/>
    </row>
    <row r="24" spans="1:11">
      <c r="A24" s="2">
        <v>23</v>
      </c>
      <c r="B24" s="3" t="s">
        <v>117</v>
      </c>
      <c r="C24" s="3" t="s">
        <v>128</v>
      </c>
      <c r="D24" s="3" t="s">
        <v>80</v>
      </c>
      <c r="E24" s="4" t="s">
        <v>129</v>
      </c>
      <c r="F24" s="3" t="s">
        <v>130</v>
      </c>
      <c r="G24" s="2">
        <v>2</v>
      </c>
      <c r="H24" s="3" t="s">
        <v>131</v>
      </c>
      <c r="I24" s="2" t="s">
        <v>132</v>
      </c>
      <c r="J24" s="2">
        <f t="shared" si="1"/>
        <v>0.706</v>
      </c>
      <c r="K24" s="2"/>
    </row>
    <row r="25" spans="1:11">
      <c r="A25" s="2">
        <v>24</v>
      </c>
      <c r="B25" s="3" t="s">
        <v>117</v>
      </c>
      <c r="C25" s="3" t="s">
        <v>133</v>
      </c>
      <c r="D25" s="3" t="s">
        <v>80</v>
      </c>
      <c r="E25" s="4" t="s">
        <v>134</v>
      </c>
      <c r="F25" s="3" t="s">
        <v>135</v>
      </c>
      <c r="G25" s="2">
        <v>3</v>
      </c>
      <c r="H25" s="3" t="s">
        <v>136</v>
      </c>
      <c r="I25" s="2" t="s">
        <v>137</v>
      </c>
      <c r="J25" s="2">
        <f t="shared" si="1"/>
        <v>1.182</v>
      </c>
      <c r="K25" s="2"/>
    </row>
    <row r="26" spans="1:11">
      <c r="A26" s="2">
        <v>25</v>
      </c>
      <c r="B26" s="3" t="s">
        <v>138</v>
      </c>
      <c r="C26" s="3" t="s">
        <v>139</v>
      </c>
      <c r="D26" s="3" t="s">
        <v>80</v>
      </c>
      <c r="E26" s="4" t="s">
        <v>140</v>
      </c>
      <c r="F26" s="3" t="s">
        <v>141</v>
      </c>
      <c r="G26" s="2">
        <v>1</v>
      </c>
      <c r="H26" s="3" t="s">
        <v>142</v>
      </c>
      <c r="I26" s="2" t="s">
        <v>143</v>
      </c>
      <c r="J26" s="2">
        <f t="shared" si="1"/>
        <v>0.426</v>
      </c>
      <c r="K26" s="2"/>
    </row>
    <row r="27" spans="1:11">
      <c r="A27" s="2">
        <v>26</v>
      </c>
      <c r="B27" s="3" t="s">
        <v>144</v>
      </c>
      <c r="C27" s="3" t="s">
        <v>145</v>
      </c>
      <c r="D27" s="3" t="s">
        <v>80</v>
      </c>
      <c r="E27" s="4" t="s">
        <v>146</v>
      </c>
      <c r="F27" s="3" t="s">
        <v>147</v>
      </c>
      <c r="G27" s="2">
        <v>2</v>
      </c>
      <c r="H27" s="3" t="s">
        <v>148</v>
      </c>
      <c r="I27" s="2" t="s">
        <v>149</v>
      </c>
      <c r="J27" s="2">
        <f t="shared" si="1"/>
        <v>1.51</v>
      </c>
      <c r="K27" s="2"/>
    </row>
    <row r="28" spans="1:11">
      <c r="A28" s="2">
        <v>27</v>
      </c>
      <c r="B28" s="3" t="s">
        <v>144</v>
      </c>
      <c r="C28" s="3" t="s">
        <v>150</v>
      </c>
      <c r="D28" s="3" t="s">
        <v>80</v>
      </c>
      <c r="E28" s="4" t="s">
        <v>151</v>
      </c>
      <c r="F28" s="3" t="s">
        <v>152</v>
      </c>
      <c r="G28" s="2">
        <v>1</v>
      </c>
      <c r="H28" s="3" t="s">
        <v>153</v>
      </c>
      <c r="I28" s="2" t="s">
        <v>154</v>
      </c>
      <c r="J28" s="2">
        <f t="shared" si="1"/>
        <v>0.833</v>
      </c>
      <c r="K28" s="2"/>
    </row>
    <row r="29" spans="1:11">
      <c r="A29" s="2">
        <v>28</v>
      </c>
      <c r="B29" s="3" t="s">
        <v>144</v>
      </c>
      <c r="C29" s="3" t="s">
        <v>155</v>
      </c>
      <c r="D29" s="3" t="s">
        <v>80</v>
      </c>
      <c r="E29" s="4" t="s">
        <v>156</v>
      </c>
      <c r="F29" s="3" t="s">
        <v>157</v>
      </c>
      <c r="G29" s="2">
        <v>1</v>
      </c>
      <c r="H29" s="3" t="s">
        <v>158</v>
      </c>
      <c r="I29" s="2" t="s">
        <v>159</v>
      </c>
      <c r="J29" s="2">
        <f t="shared" si="1"/>
        <v>0.97</v>
      </c>
      <c r="K29" s="2"/>
    </row>
    <row r="30" ht="80" customHeight="1" spans="1:12">
      <c r="A30" s="2">
        <v>29</v>
      </c>
      <c r="B30" s="3" t="s">
        <v>160</v>
      </c>
      <c r="C30" s="3" t="s">
        <v>161</v>
      </c>
      <c r="D30" s="3" t="s">
        <v>80</v>
      </c>
      <c r="E30" s="4" t="s">
        <v>162</v>
      </c>
      <c r="F30" s="3" t="s">
        <v>163</v>
      </c>
      <c r="G30" s="2">
        <v>2</v>
      </c>
      <c r="H30" s="3" t="s">
        <v>80</v>
      </c>
      <c r="I30" s="2">
        <v>9.7</v>
      </c>
      <c r="J30" s="2">
        <f t="shared" si="1"/>
        <v>19.4</v>
      </c>
      <c r="K30" s="2"/>
      <c r="L30" s="7" t="s">
        <v>164</v>
      </c>
    </row>
    <row r="31" spans="1:11">
      <c r="A31" s="2" t="s">
        <v>80</v>
      </c>
      <c r="B31" s="3"/>
      <c r="C31" s="3"/>
      <c r="D31" s="3"/>
      <c r="E31" s="4"/>
      <c r="F31" s="3"/>
      <c r="G31" s="2"/>
      <c r="H31" s="3"/>
      <c r="I31" s="2"/>
      <c r="J31" s="2"/>
      <c r="K31" s="2"/>
    </row>
    <row r="32" spans="10:10">
      <c r="J32" s="1">
        <f>SUM(J3:J30)</f>
        <v>32.78245</v>
      </c>
    </row>
  </sheetData>
  <hyperlinks>
    <hyperlink ref="L17" r:id="rId2" display="https://item.taobao.com/item.htm?abbucket=16&amp;detail_redpacket_pop=true&amp;id=742789107369&amp;ltk2=1745474505061k1zeu51u9kdydlcycc829i&amp;ns=1&amp;pisk=gS8gi9abOhS19ukdve_sqLLtI3opXN_ffKUAHZBqY9WQWiWxfKjDHps2WNd9KtJJnsL9kExQoQOXWf_x1NO1lZk-e4BD1C_X_ibkHFfUYsAU7PWqvwkTTZ0Ke43JtkzRKXDJkhX-PLf8uZSN0k5Fds44bsJVYw5lLP547syEt9T0W5I6ft0DGp4_6CCs8SY9KE_NXFNCuL9ucNExGyWCis8f3GpTuwLerSs6cK7FLsf00Pza7B7Fd_aVgPzq8w5fNPr4bKREts6F3ZS23BlrWWW93dTEdBTWF4_6befGjTRnVrzDTzINUCW3uY8hsY6y_944oOO_q8AH6A4W9NTJE_pt8PvkgQtVxE2EEtTHTF-2ORDVOnJO8OQrbWb95C-P0Ukb0LbMng8NxSlD6CWG-68rMu6p-Op2SMl8riQeyg7wvDMODNfk3F9girJy9QL1AEDuLttONw5DlbrcniSrgkrP_0afTjLUcosNO6XRGdCotMGPFUlntu-5b61ZyXc3cosNO6X-tXqrFG5C_4C..&amp;priceTId=undefined&amp;query=PCA9635PW%2C118&amp;skuId=5124073025966&amp;spm=a21n57.1.hoverItem.2&amp;utparam=%7B%22aplus_abtest%22%3A%221c2f80e79e2b79b0cfefcb74b8ce025c%22%7D&amp;xxc=taobaoSearch" tooltip="https://item.taobao.com/item.htm?abbucket=16&amp;detail_redpacket_pop=true&amp;id=742789107369&amp;ltk2=1745474505061k1zeu51u9kdydlcycc829i&amp;ns=1&amp;pisk=gS8gi9abOhS19ukdve_sqLLtI3opXN_ffKUAHZBqY9WQWiWxfKjDHps2WNd9KtJJnsL9kExQoQOXWf_x1NO1lZk-e4BD1C_X_ibkHFfUYsAU7PWqvwkTT"/>
    <hyperlink ref="L30" r:id="rId3" display="https://item.taobao.com/item.htm?abbucket=16&amp;detail_redpacket_pop=true&amp;id=679670478101&amp;ltk2=1745425518112bapzh0t57vom5av8n740i&amp;ns=1&amp;pisk=gQj8gP2lYSVlUcsJnTzm-BB_FOwcFrXzZ_WsxBAoRsCAdIm3U34ev6dATQYkVQmpv9CFt6BUUpOCO6dhrrqGUT-eA5mLjlXzMmQ486LWRx9f3pvSRrY7ZTtnU5Vgjk3jbIVLs6bJ9w3pBdtBFe9Sh-pHCbOCOeifhIJedb9IV-eAx_RWq7oeJtsV9gxzNgDDAp7ITX2CYqAcv9Kl4pt79HIOMwYr8DkqRajcZpfBPo9XddgIP4i5h-p9QYgIVH9jGLJpOL1BA-BXgptBd6tICY4vT4OivNRcmWEmnhmIAipJlrXWGBOLKLTJ1TOY15IYbUd1FInL_nktPBdVfS4A31b5ZK5LXSK17sIp5HE-_LQfBnOkfuHy1gvdIwBT6XvVP_IXJi2UztIpwFsWkkeMc3pCOeQ46cvJqZLO2ayEGT1MwNtPKAFlHFQv7KTjp4tlSOje5gZ-_IYwpsLGy5nR1gRGjGHe4fA9K4wYH2uePKyF3Z-tNsthkKdgnL0E8EU2HC2YH2uePKJvs-co828Yu&amp;priceTId=undefined&amp;query=1.28%E5%AF%B8%E6%B6%B2%E6%99%B6&amp;skuId=5262531719435&amp;spm=a21n57.1.hoverItem.6&amp;utparam=%7B%22aplus_abtest%22%3A%22468cef80d4fc4a6eb59a96a007286071%22%7D&amp;xxc=taobaoSearch"/>
    <hyperlink ref="L18" r:id="rId4" display="https://item.taobao.com/item.htm?id=743512094087&amp;pisk=gVsmVqisFZ8bfdNJygtb-6QOf-z8cnt6G1n96hdazQRSD1KvX3lyCKcZ0Fu2aaXCsIe_lnQks_5kgmeblFRGGQCtXtIGPcXCCieXX-tfhhta9WEpst6XfWHnYSImzUJOUclquzKzkYo1aWELvT42hhBz9GQDp19Xpc-wuFlr4Q9igc5ZuuykQdh2_I5aE8vwCClZ0c-yUdv6bjRwg0-yIdkqbhoZa8v6aC-wb1-zEdGyLYRA_sszNTs9UsRDegvDoBWuRcoM7DL2TpOrbWSknWOF3QmZbBvZqSWlHSmCensdtpCY4mfhQ9_wrGcztCslUi7NFjVwFN5v4IKUuYxAct7e7MPs76xcseS2rAyGHtRDqLSUB2ORqICNmUyKxFKPve-VyzNvWnvh_i1mIc5Fe9IXPGVnaC_vd3JGfJuMsFSz_4ue3yi6URIr5VT2FLApCsp3EsjP_Z2uE27BuL94v82o5VT2FLALE80UOEJW3kC..&amp;spm=a1z10.3-c-s.w4002-24733521154.9.190e7e69F3oam8&amp;skuId=5129466113757" tooltip="https://item.taobao.com/item.htm?id=743512094087&amp;pisk=gVsmVqisFZ8bfdNJygtb-6QOf-z8cnt6G1n96hdazQRSD1KvX3lyCKcZ0Fu2aaXCsIe_lnQks_5kgmeblFRGGQCtXtIGPcXCCieXX-tfhhta9WEpst6XfWHnYSImzUJOUclquzKzkYo1aWELvT42hhBz9GQDp19Xpc-wuFlr4Q9igc5ZuuykQdh2_I5aE8vwCClZ0c-yU"/>
  </hyperlinks>
  <printOptions gridLines="1"/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20" sqref="I20"/>
    </sheetView>
  </sheetViews>
  <sheetFormatPr defaultColWidth="9.02654867256637" defaultRowHeight="13.5" outlineLevelRow="6"/>
  <cols>
    <col min="1" max="1" width="5.38938053097345" style="1" customWidth="1"/>
    <col min="2" max="2" width="9.24778761061947" customWidth="1"/>
    <col min="3" max="3" width="16.1946902654867" customWidth="1"/>
    <col min="4" max="4" width="8.56637168141593" customWidth="1"/>
    <col min="5" max="5" width="14.0088495575221" customWidth="1"/>
    <col min="6" max="6" width="12.7522123893805" customWidth="1"/>
    <col min="7" max="7" width="5.38938053097345" customWidth="1"/>
    <col min="8" max="8" width="9.53097345132743" customWidth="1"/>
    <col min="9" max="9" width="7.53097345132743" style="1" customWidth="1"/>
    <col min="10" max="10" width="7.53097345132743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>
      <c r="A2" s="2">
        <v>1</v>
      </c>
      <c r="B2" s="3" t="s">
        <v>10</v>
      </c>
      <c r="C2" s="3" t="s">
        <v>165</v>
      </c>
      <c r="D2" s="3" t="s">
        <v>166</v>
      </c>
      <c r="E2" s="4" t="s">
        <v>167</v>
      </c>
      <c r="F2" s="3" t="s">
        <v>14</v>
      </c>
      <c r="G2" s="2">
        <v>2</v>
      </c>
      <c r="H2" s="3" t="s">
        <v>168</v>
      </c>
      <c r="I2" s="3">
        <v>0.0057</v>
      </c>
      <c r="J2" s="3">
        <f>I2*G2</f>
        <v>0.0114</v>
      </c>
    </row>
    <row r="3" spans="1:10">
      <c r="A3" s="2">
        <v>2</v>
      </c>
      <c r="B3" s="3" t="s">
        <v>10</v>
      </c>
      <c r="C3" s="3" t="s">
        <v>169</v>
      </c>
      <c r="D3" s="3" t="s">
        <v>170</v>
      </c>
      <c r="E3" s="4" t="s">
        <v>171</v>
      </c>
      <c r="F3" s="3" t="s">
        <v>14</v>
      </c>
      <c r="G3" s="2">
        <v>1</v>
      </c>
      <c r="H3" s="3" t="s">
        <v>172</v>
      </c>
      <c r="I3" s="3">
        <v>0.0057</v>
      </c>
      <c r="J3" s="3">
        <f>I3*G3</f>
        <v>0.0057</v>
      </c>
    </row>
    <row r="4" spans="1:10">
      <c r="A4" s="2">
        <v>3</v>
      </c>
      <c r="B4" s="3" t="s">
        <v>173</v>
      </c>
      <c r="C4" s="3" t="s">
        <v>174</v>
      </c>
      <c r="D4" s="3"/>
      <c r="E4" s="4" t="s">
        <v>175</v>
      </c>
      <c r="F4" s="3" t="s">
        <v>176</v>
      </c>
      <c r="G4" s="2">
        <v>1</v>
      </c>
      <c r="H4" s="3" t="s">
        <v>177</v>
      </c>
      <c r="I4" s="3">
        <v>0.27227</v>
      </c>
      <c r="J4" s="3">
        <f>I4*G4</f>
        <v>0.27227</v>
      </c>
    </row>
    <row r="5" spans="1:10">
      <c r="A5" s="2">
        <v>4</v>
      </c>
      <c r="B5" s="3" t="s">
        <v>144</v>
      </c>
      <c r="C5" s="3" t="s">
        <v>145</v>
      </c>
      <c r="D5" s="3" t="s">
        <v>80</v>
      </c>
      <c r="E5" s="4" t="s">
        <v>178</v>
      </c>
      <c r="F5" s="3" t="s">
        <v>147</v>
      </c>
      <c r="G5" s="2">
        <v>1</v>
      </c>
      <c r="H5" s="3" t="s">
        <v>148</v>
      </c>
      <c r="I5" s="3">
        <v>0.755</v>
      </c>
      <c r="J5" s="3">
        <f>I5*G5</f>
        <v>0.755</v>
      </c>
    </row>
    <row r="7" spans="10:10">
      <c r="J7">
        <f>SUM(J2:J5)</f>
        <v>1.04437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BOM_Dooi_CE_Head(2套)</vt:lpstr>
      <vt:lpstr>BOM_Dooi_CE_Arm（4套）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火柴棍</cp:lastModifiedBy>
  <dcterms:created xsi:type="dcterms:W3CDTF">2025-04-23T16:13:00Z</dcterms:created>
  <dcterms:modified xsi:type="dcterms:W3CDTF">2025-08-07T02:37:31Z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C7A353F887C44059B87E1C60A27278EC_12</vt:lpwstr>
  </property>
  <property fmtid="{D5CDD505-2E9C-101B-9397-08002B2CF9AE}" pid="3" name="KSOProductBuildVer">
    <vt:lpwstr>2052-12.1.0.22215</vt:lpwstr>
  </property>
</Properties>
</file>